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A403\Documents\"/>
    </mc:Choice>
  </mc:AlternateContent>
  <xr:revisionPtr revIDLastSave="0" documentId="8_{A45ACA79-B871-4A15-97FB-FD6274DC1F50}" xr6:coauthVersionLast="47" xr6:coauthVersionMax="47" xr10:uidLastSave="{00000000-0000-0000-0000-000000000000}"/>
  <bookViews>
    <workbookView xWindow="-120" yWindow="-120" windowWidth="29040" windowHeight="15720" xr2:uid="{A552AE39-C965-4445-8BA1-2285F9A00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D18" i="1"/>
  <c r="D17" i="1"/>
  <c r="I4" i="1"/>
  <c r="I3" i="1"/>
  <c r="H13" i="1"/>
  <c r="H4" i="1"/>
  <c r="H5" i="1"/>
  <c r="H6" i="1"/>
  <c r="H7" i="1"/>
  <c r="H8" i="1"/>
  <c r="H9" i="1"/>
  <c r="H10" i="1"/>
  <c r="H11" i="1"/>
  <c r="H12" i="1"/>
  <c r="H14" i="1"/>
  <c r="H15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3" i="1"/>
</calcChain>
</file>

<file path=xl/sharedStrings.xml><?xml version="1.0" encoding="utf-8"?>
<sst xmlns="http://schemas.openxmlformats.org/spreadsheetml/2006/main" count="21" uniqueCount="21">
  <si>
    <t>optimista</t>
  </si>
  <si>
    <t>pesimista</t>
  </si>
  <si>
    <t>Mas probable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</si>
  <si>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</si>
  <si>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</si>
  <si>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</si>
  <si>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</si>
  <si>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</si>
  <si>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</si>
  <si>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</si>
  <si>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</si>
  <si>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</si>
  <si>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</si>
  <si>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</si>
  <si>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</si>
  <si>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</si>
  <si>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Media</t>
  </si>
  <si>
    <t>Varianza</t>
  </si>
  <si>
    <t>p(X&lt;=22)</t>
  </si>
  <si>
    <t>p(X&gt;=17)</t>
  </si>
  <si>
    <t>p(18&lt;=X&lt;=17)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</si>
</sst>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E737-C32A-4D0A-84DD-971EC39C947C}">
  <dimension ref="C2:I19"/>
  <sheetViews>
    <sheetView tabSelected="1" workbookViewId="0">
      <selection activeCell="D20" sqref="D20"/>
    </sheetView>
  </sheetViews>
  <sheetFormatPr baseColWidth="10" defaultRowHeight="15" x14ac:dyDescent="0.25"/>
  <cols>
    <col min="3" max="3" width="31.85546875" customWidth="1"/>
    <col min="4" max="4" width="11.85546875" bestFit="1" customWidth="1"/>
    <col min="5" max="5" width="15.7109375" customWidth="1"/>
    <col min="7" max="7" width="11.85546875" bestFit="1" customWidth="1"/>
  </cols>
  <sheetData>
    <row r="2" spans="3:9" x14ac:dyDescent="0.25">
      <c r="C2" s="1"/>
      <c r="D2" s="5" t="s">
        <v>0</v>
      </c>
      <c r="E2" s="5" t="s">
        <v>2</v>
      </c>
      <c r="F2" s="5" t="s">
        <v>1</v>
      </c>
      <c r="G2" s="6" t="s">
        <v>16</v>
      </c>
      <c r="H2" s="5" t="s">
        <v>17</v>
      </c>
      <c r="I2">
        <v>20</v>
      </c>
    </row>
    <row r="3" spans="3:9" x14ac:dyDescent="0.25">
      <c r="C3" s="2" t="s">
        <v>3</v>
      </c>
      <c r="D3" s="2">
        <v>1</v>
      </c>
      <c r="E3" s="2">
        <v>2</v>
      </c>
      <c r="F3" s="2">
        <v>3</v>
      </c>
      <c r="G3" s="3">
        <f>(D3+4*E3+F3)/6</f>
        <v>2</v>
      </c>
      <c r="H3" s="2">
        <f>((F3-D3)/6)^2</f>
        <v>0.1111111111111111</v>
      </c>
      <c r="I3">
        <f>H6+H11+H12+H14+H15</f>
        <v>2.1111111111111112</v>
      </c>
    </row>
    <row r="4" spans="3:9" x14ac:dyDescent="0.25">
      <c r="C4" s="2" t="s">
        <v>4</v>
      </c>
      <c r="D4" s="2">
        <v>2</v>
      </c>
      <c r="E4" s="2">
        <v>4</v>
      </c>
      <c r="F4" s="2">
        <v>6</v>
      </c>
      <c r="G4" s="3">
        <f t="shared" ref="G4:G15" si="0">(D4+4*E4+F4)/6</f>
        <v>4</v>
      </c>
      <c r="H4" s="2">
        <f t="shared" ref="H4:H15" si="1">((F4-D4)/6)^2</f>
        <v>0.44444444444444442</v>
      </c>
      <c r="I4">
        <f>SQRT(I3)</f>
        <v>1.4529663145135578</v>
      </c>
    </row>
    <row r="5" spans="3:9" x14ac:dyDescent="0.25">
      <c r="C5" s="2" t="s">
        <v>5</v>
      </c>
      <c r="D5" s="2">
        <v>0</v>
      </c>
      <c r="E5" s="2">
        <v>1</v>
      </c>
      <c r="F5" s="2">
        <v>2</v>
      </c>
      <c r="G5" s="3">
        <f t="shared" si="0"/>
        <v>1</v>
      </c>
      <c r="H5" s="2">
        <f t="shared" si="1"/>
        <v>0.1111111111111111</v>
      </c>
    </row>
    <row r="6" spans="3:9" x14ac:dyDescent="0.25">
      <c r="C6" s="2" t="s">
        <v>6</v>
      </c>
      <c r="D6" s="2">
        <v>3</v>
      </c>
      <c r="E6" s="2">
        <v>6</v>
      </c>
      <c r="F6" s="2">
        <v>9</v>
      </c>
      <c r="G6" s="3">
        <f t="shared" si="0"/>
        <v>6</v>
      </c>
      <c r="H6" s="2">
        <f t="shared" si="1"/>
        <v>1</v>
      </c>
    </row>
    <row r="7" spans="3:9" x14ac:dyDescent="0.25">
      <c r="C7" s="2" t="s">
        <v>7</v>
      </c>
      <c r="D7" s="2">
        <v>2</v>
      </c>
      <c r="E7" s="2">
        <v>3</v>
      </c>
      <c r="F7" s="2">
        <v>4</v>
      </c>
      <c r="G7" s="3">
        <f t="shared" si="0"/>
        <v>3</v>
      </c>
      <c r="H7" s="2">
        <f t="shared" si="1"/>
        <v>0.1111111111111111</v>
      </c>
    </row>
    <row r="8" spans="3:9" x14ac:dyDescent="0.25">
      <c r="C8" s="2" t="s">
        <v>8</v>
      </c>
      <c r="D8" s="2">
        <v>3</v>
      </c>
      <c r="E8" s="2">
        <v>5</v>
      </c>
      <c r="F8" s="2">
        <v>7</v>
      </c>
      <c r="G8" s="3">
        <f t="shared" si="0"/>
        <v>5</v>
      </c>
      <c r="H8" s="2">
        <f t="shared" si="1"/>
        <v>0.44444444444444442</v>
      </c>
    </row>
    <row r="9" spans="3:9" x14ac:dyDescent="0.25">
      <c r="C9" s="2" t="s">
        <v>9</v>
      </c>
      <c r="D9" s="2">
        <v>1</v>
      </c>
      <c r="E9" s="2">
        <v>2</v>
      </c>
      <c r="F9" s="2">
        <v>3</v>
      </c>
      <c r="G9" s="3">
        <f t="shared" si="0"/>
        <v>2</v>
      </c>
      <c r="H9" s="2">
        <f t="shared" si="1"/>
        <v>0.1111111111111111</v>
      </c>
    </row>
    <row r="10" spans="3:9" x14ac:dyDescent="0.25">
      <c r="C10" s="2" t="s">
        <v>10</v>
      </c>
      <c r="D10" s="2">
        <v>1</v>
      </c>
      <c r="E10" s="2">
        <v>2</v>
      </c>
      <c r="F10" s="2">
        <v>3</v>
      </c>
      <c r="G10" s="3">
        <f t="shared" si="0"/>
        <v>2</v>
      </c>
      <c r="H10" s="2">
        <f t="shared" si="1"/>
        <v>0.1111111111111111</v>
      </c>
    </row>
    <row r="11" spans="3:9" x14ac:dyDescent="0.25">
      <c r="C11" s="2" t="s">
        <v>11</v>
      </c>
      <c r="D11" s="2">
        <v>1</v>
      </c>
      <c r="E11" s="2">
        <v>3</v>
      </c>
      <c r="F11" s="2">
        <v>5</v>
      </c>
      <c r="G11" s="3">
        <f t="shared" si="0"/>
        <v>3</v>
      </c>
      <c r="H11" s="2">
        <f t="shared" si="1"/>
        <v>0.44444444444444442</v>
      </c>
    </row>
    <row r="12" spans="3:9" x14ac:dyDescent="0.25">
      <c r="C12" s="2" t="s">
        <v>12</v>
      </c>
      <c r="D12" s="2">
        <v>3</v>
      </c>
      <c r="E12" s="2">
        <v>4</v>
      </c>
      <c r="F12" s="2">
        <v>5</v>
      </c>
      <c r="G12" s="3">
        <f t="shared" si="0"/>
        <v>4</v>
      </c>
      <c r="H12" s="2">
        <f t="shared" si="1"/>
        <v>0.1111111111111111</v>
      </c>
    </row>
    <row r="13" spans="3:9" x14ac:dyDescent="0.25">
      <c r="C13" s="2" t="s">
        <v>13</v>
      </c>
      <c r="D13" s="2">
        <v>2</v>
      </c>
      <c r="E13" s="2">
        <v>3</v>
      </c>
      <c r="F13" s="2">
        <v>4</v>
      </c>
      <c r="G13" s="3">
        <f t="shared" si="0"/>
        <v>3</v>
      </c>
      <c r="H13" s="2">
        <f>((F13-D13)/6)^2</f>
        <v>0.1111111111111111</v>
      </c>
    </row>
    <row r="14" spans="3:9" x14ac:dyDescent="0.25">
      <c r="C14" s="2" t="s">
        <v>14</v>
      </c>
      <c r="D14" s="2">
        <v>3</v>
      </c>
      <c r="E14" s="2">
        <v>5</v>
      </c>
      <c r="F14" s="2">
        <v>7</v>
      </c>
      <c r="G14" s="3">
        <f t="shared" si="0"/>
        <v>5</v>
      </c>
      <c r="H14" s="2">
        <f t="shared" si="1"/>
        <v>0.44444444444444442</v>
      </c>
    </row>
    <row r="15" spans="3:9" x14ac:dyDescent="0.25">
      <c r="C15" s="2" t="s">
        <v>15</v>
      </c>
      <c r="D15" s="4">
        <v>1</v>
      </c>
      <c r="E15" s="4">
        <v>2</v>
      </c>
      <c r="F15" s="4">
        <v>3</v>
      </c>
      <c r="G15" s="3">
        <f t="shared" si="0"/>
        <v>2</v>
      </c>
      <c r="H15" s="2">
        <f t="shared" si="1"/>
        <v>0.1111111111111111</v>
      </c>
    </row>
    <row r="17" spans="3:4" x14ac:dyDescent="0.25">
      <c r="C17" s="7" t="s">
        <v>18</v>
      </c>
      <c r="D17">
        <f>_xlfn.NORM.DIST(22,I2,I4, TRUE)</f>
        <v>0.91566569055609248</v>
      </c>
    </row>
    <row r="18" spans="3:4" x14ac:dyDescent="0.25">
      <c r="C18" s="7" t="s">
        <v>19</v>
      </c>
      <c r="D18">
        <f>1- _xlfn.NORM.DIST(17,I2,I4, TRUE)</f>
        <v>0.98052627212898735</v>
      </c>
    </row>
    <row r="19" spans="3:4" x14ac:dyDescent="0.25">
      <c r="C19" s="7" t="s">
        <v>20</v>
      </c>
      <c r="D19" t="e">
        <f>_xlfn.NORM.DIST(17,I3,I5, TRUE)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 Solorzano</dc:creator>
  <cp:lastModifiedBy>Sebastian Suarez Solorzano</cp:lastModifiedBy>
  <dcterms:created xsi:type="dcterms:W3CDTF">2026-03-04T22:15:23Z</dcterms:created>
  <dcterms:modified xsi:type="dcterms:W3CDTF">2026-03-04T23:29:36Z</dcterms:modified>
</cp:coreProperties>
</file>